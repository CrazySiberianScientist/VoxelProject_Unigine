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<sst xmlns="http://schemas.openxmlformats.org/spreadsheetml/2006/main" count="39" uniqueCount="15">
  <si>
    <t xml:space="preserve">cells_distance = x + y = x + x * k</t>
  </si>
  <si>
    <t xml:space="preserve">x = cells_distance / (1 + k)</t>
  </si>
  <si>
    <t xml:space="preserve">закрашено:</t>
  </si>
  <si>
    <t xml:space="preserve">расстояние кв.:</t>
  </si>
  <si>
    <t xml:space="preserve">k = y / x  :</t>
  </si>
  <si>
    <t xml:space="preserve">x:</t>
  </si>
  <si>
    <t xml:space="preserve">y:</t>
  </si>
  <si>
    <t xml:space="preserve">4;3</t>
  </si>
  <si>
    <t xml:space="preserve">0;0</t>
  </si>
  <si>
    <t xml:space="preserve">3;4</t>
  </si>
  <si>
    <t xml:space="preserve">cells_distance = x + y = dirX * t + dirY * t</t>
  </si>
  <si>
    <t xml:space="preserve">t = cells_distance / (|dirX| + |dirY|)</t>
  </si>
  <si>
    <t xml:space="preserve">закрас:</t>
  </si>
  <si>
    <t xml:space="preserve">t :</t>
  </si>
  <si>
    <t xml:space="preserve">сдвиг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</si>
</sst>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.00"/>
    <numFmt numFmtId="166" formatCode="@"/>
  </numFmts>
  <fonts count="5">
    <font>
      <sz val="10"/>
      <name val="Arial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8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1E9FF"/>
        <bgColor rgb="FFCCFFFF"/>
      </patternFill>
    </fill>
    <fill>
      <patternFill patternType="solid">
        <fgColor rgb="FF29FF6A"/>
        <bgColor rgb="FF33CC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true" diagonalDown="true">
      <left style="thin"/>
      <right style="thin"/>
      <top style="thin"/>
      <bottom style="thin"/>
      <diagonal style="thin"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4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29FF6A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1E9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20</xdr:col>
      <xdr:colOff>66600</xdr:colOff>
      <xdr:row>11</xdr:row>
      <xdr:rowOff>0</xdr:rowOff>
    </xdr:from>
    <xdr:to>
      <xdr:col>25</xdr:col>
      <xdr:colOff>74880</xdr:colOff>
      <xdr:row>14</xdr:row>
      <xdr:rowOff>162360</xdr:rowOff>
    </xdr:to>
    <xdr:sp>
      <xdr:nvSpPr>
        <xdr:cNvPr id="0" name="Линия 1"/>
        <xdr:cNvSpPr/>
      </xdr:nvSpPr>
      <xdr:spPr>
        <a:xfrm flipV="1">
          <a:off x="3389400" y="1788120"/>
          <a:ext cx="817920" cy="650160"/>
        </a:xfrm>
        <a:prstGeom prst="line">
          <a:avLst/>
        </a:prstGeom>
        <a:ln w="18000">
          <a:solidFill>
            <a:srgbClr val="ff0000"/>
          </a:solidFill>
          <a:prstDash val="sysDash"/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20</xdr:col>
      <xdr:colOff>77040</xdr:colOff>
      <xdr:row>35</xdr:row>
      <xdr:rowOff>0</xdr:rowOff>
    </xdr:from>
    <xdr:to>
      <xdr:col>24</xdr:col>
      <xdr:colOff>62640</xdr:colOff>
      <xdr:row>39</xdr:row>
      <xdr:rowOff>158040</xdr:rowOff>
    </xdr:to>
    <xdr:sp>
      <xdr:nvSpPr>
        <xdr:cNvPr id="1" name="Линия 1"/>
        <xdr:cNvSpPr/>
      </xdr:nvSpPr>
      <xdr:spPr>
        <a:xfrm flipV="1">
          <a:off x="3399840" y="5689440"/>
          <a:ext cx="633600" cy="808560"/>
        </a:xfrm>
        <a:prstGeom prst="line">
          <a:avLst/>
        </a:prstGeom>
        <a:ln w="18000">
          <a:solidFill>
            <a:srgbClr val="ff0000"/>
          </a:solidFill>
          <a:prstDash val="sysDash"/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20</xdr:col>
      <xdr:colOff>158760</xdr:colOff>
      <xdr:row>54</xdr:row>
      <xdr:rowOff>155880</xdr:rowOff>
    </xdr:from>
    <xdr:to>
      <xdr:col>26</xdr:col>
      <xdr:colOff>5040</xdr:colOff>
      <xdr:row>58</xdr:row>
      <xdr:rowOff>155880</xdr:rowOff>
    </xdr:to>
    <xdr:sp>
      <xdr:nvSpPr>
        <xdr:cNvPr id="2" name="Линия 1"/>
        <xdr:cNvSpPr/>
      </xdr:nvSpPr>
      <xdr:spPr>
        <a:xfrm flipV="1">
          <a:off x="3481560" y="8934120"/>
          <a:ext cx="817920" cy="650160"/>
        </a:xfrm>
        <a:prstGeom prst="line">
          <a:avLst/>
        </a:prstGeom>
        <a:ln w="18000">
          <a:solidFill>
            <a:srgbClr val="ff0000"/>
          </a:solidFill>
          <a:prstDash val="sysDash"/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21</xdr:col>
      <xdr:colOff>42840</xdr:colOff>
      <xdr:row>77</xdr:row>
      <xdr:rowOff>33840</xdr:rowOff>
    </xdr:from>
    <xdr:to>
      <xdr:col>25</xdr:col>
      <xdr:colOff>36360</xdr:colOff>
      <xdr:row>80</xdr:row>
      <xdr:rowOff>40680</xdr:rowOff>
    </xdr:to>
    <xdr:sp>
      <xdr:nvSpPr>
        <xdr:cNvPr id="3" name="Линия 1"/>
        <xdr:cNvSpPr/>
      </xdr:nvSpPr>
      <xdr:spPr>
        <a:xfrm flipV="1">
          <a:off x="3527640" y="12551040"/>
          <a:ext cx="641160" cy="494280"/>
        </a:xfrm>
        <a:prstGeom prst="line">
          <a:avLst/>
        </a:prstGeom>
        <a:ln w="18000">
          <a:solidFill>
            <a:srgbClr val="ff0000"/>
          </a:solidFill>
          <a:prstDash val="sysDash"/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oneCell">
    <xdr:from>
      <xdr:col>20</xdr:col>
      <xdr:colOff>156960</xdr:colOff>
      <xdr:row>77</xdr:row>
      <xdr:rowOff>139680</xdr:rowOff>
    </xdr:from>
    <xdr:to>
      <xdr:col>24</xdr:col>
      <xdr:colOff>157680</xdr:colOff>
      <xdr:row>80</xdr:row>
      <xdr:rowOff>156960</xdr:rowOff>
    </xdr:to>
    <xdr:sp>
      <xdr:nvSpPr>
        <xdr:cNvPr id="4" name="Линия 2"/>
        <xdr:cNvSpPr/>
      </xdr:nvSpPr>
      <xdr:spPr>
        <a:xfrm flipV="1">
          <a:off x="3479760" y="12656880"/>
          <a:ext cx="648720" cy="504720"/>
        </a:xfrm>
        <a:prstGeom prst="line">
          <a:avLst/>
        </a:prstGeom>
        <a:ln w="18000">
          <a:solidFill>
            <a:srgbClr val="ff0000"/>
          </a:solidFill>
          <a:prstDash val="sysDash"/>
          <a:round/>
        </a:ln>
      </xdr:spPr>
      <xdr:style>
        <a:lnRef idx="0"/>
        <a:fillRef idx="0"/>
        <a:effectRef idx="0"/>
        <a:fontRef idx="minor"/>
      </xdr:style>
    </xdr:sp>
    <xdr:clientData/>
  </xdr:twoCellAnchor>
  <xdr:twoCellAnchor editAs="absolute">
    <xdr:from>
      <xdr:col>19</xdr:col>
      <xdr:colOff>14760</xdr:colOff>
      <xdr:row>85</xdr:row>
      <xdr:rowOff>69120</xdr:rowOff>
    </xdr:from>
    <xdr:to>
      <xdr:col>22</xdr:col>
      <xdr:colOff>2520</xdr:colOff>
      <xdr:row>87</xdr:row>
      <xdr:rowOff>57240</xdr:rowOff>
    </xdr:to>
    <xdr:sp>
      <xdr:nvSpPr>
        <xdr:cNvPr id="5" name="Линия 3"/>
        <xdr:cNvSpPr/>
      </xdr:nvSpPr>
      <xdr:spPr>
        <a:xfrm flipH="1" flipV="1">
          <a:off x="3175920" y="13886640"/>
          <a:ext cx="473400" cy="313200"/>
        </a:xfrm>
        <a:prstGeom prst="line">
          <a:avLst/>
        </a:prstGeom>
        <a:ln w="18000">
          <a:solidFill>
            <a:srgbClr val="ff0000"/>
          </a:solidFill>
          <a:round/>
          <a:headEnd len="med" type="oval" w="med"/>
          <a:tailEnd len="med" type="triangle" w="med"/>
        </a:ln>
      </xdr:spPr>
      <xdr:style>
        <a:lnRef idx="0"/>
        <a:fillRef idx="0"/>
        <a:effectRef idx="0"/>
        <a:fontRef idx="minor"/>
      </xdr:style>
    </xdr:sp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Q2:AL93"/>
  <sheetViews>
    <sheetView showFormulas="false" showGridLines="true" showRowColHeaders="true" showZeros="true" rightToLeft="false" tabSelected="true" showOutlineSymbols="true" defaultGridColor="true" view="normal" topLeftCell="H85" colorId="64" zoomScale="400" zoomScaleNormal="400" zoomScalePageLayoutView="100" workbookViewId="0">
      <selection pane="topLeft" activeCell="AB90" activeCellId="0" sqref="AB90"/>
    </sheetView>
  </sheetViews>
  <sheetFormatPr defaultColWidth="2.30078125" defaultRowHeight="12.8" zeroHeight="false" outlineLevelRow="0" outlineLevelCol="0"/>
  <cols>
    <col collapsed="false" customWidth="true" hidden="false" outlineLevel="0" max="17" min="17" style="0" width="3.49"/>
    <col collapsed="false" customWidth="true" hidden="false" outlineLevel="0" max="27" min="27" style="0" width="6.06"/>
    <col collapsed="false" customWidth="true" hidden="false" outlineLevel="0" max="30" min="30" style="0" width="7.5"/>
    <col collapsed="false" customWidth="true" hidden="false" outlineLevel="0" max="31" min="31" style="0" width="7.79"/>
    <col collapsed="false" customWidth="true" hidden="false" outlineLevel="0" max="33" min="32" style="0" width="5.09"/>
    <col collapsed="false" customWidth="true" hidden="false" outlineLevel="0" max="34" min="34" style="0" width="7.04"/>
    <col collapsed="false" customWidth="true" hidden="false" outlineLevel="0" max="35" min="35" style="0" width="6.9"/>
    <col collapsed="false" customWidth="true" hidden="false" outlineLevel="0" max="36" min="36" style="0" width="5.75"/>
    <col collapsed="false" customWidth="true" hidden="false" outlineLevel="0" max="37" min="37" style="0" width="6.13"/>
    <col collapsed="false" customWidth="true" hidden="false" outlineLevel="0" max="38" min="38" style="0" width="6.28"/>
  </cols>
  <sheetData>
    <row r="2" customFormat="false" ht="12.8" hidden="false" customHeight="false" outlineLevel="0" collapsed="false">
      <c r="U2" s="0" t="s">
        <v>0</v>
      </c>
    </row>
    <row r="3" customFormat="false" ht="12.8" hidden="false" customHeight="false" outlineLevel="0" collapsed="false">
      <c r="U3" s="0" t="s">
        <v>1</v>
      </c>
    </row>
    <row r="4" customFormat="false" ht="12.8" hidden="false" customHeight="false" outlineLevel="0" collapsed="false">
      <c r="U4" s="0" t="s">
        <v>2</v>
      </c>
      <c r="AA4" s="0" t="n">
        <v>2</v>
      </c>
      <c r="AE4" s="0" t="n">
        <v>0</v>
      </c>
      <c r="AF4" s="0" t="n">
        <v>1</v>
      </c>
      <c r="AG4" s="0" t="n">
        <v>2</v>
      </c>
      <c r="AH4" s="0" t="n">
        <v>3</v>
      </c>
      <c r="AI4" s="0" t="n">
        <v>4</v>
      </c>
      <c r="AJ4" s="0" t="n">
        <v>5</v>
      </c>
      <c r="AK4" s="0" t="n">
        <v>6</v>
      </c>
      <c r="AL4" s="0" t="n">
        <v>7</v>
      </c>
    </row>
    <row r="5" customFormat="false" ht="12.8" hidden="false" customHeight="false" outlineLevel="0" collapsed="false">
      <c r="U5" s="0" t="s">
        <v>3</v>
      </c>
      <c r="AA5" s="0" t="n">
        <v>7</v>
      </c>
      <c r="AE5" s="0" t="n">
        <v>1</v>
      </c>
      <c r="AF5" s="0" t="n">
        <v>2</v>
      </c>
      <c r="AG5" s="0" t="n">
        <v>3</v>
      </c>
      <c r="AH5" s="0" t="n">
        <v>4</v>
      </c>
      <c r="AI5" s="0" t="n">
        <v>5</v>
      </c>
      <c r="AJ5" s="0" t="n">
        <v>6</v>
      </c>
      <c r="AK5" s="0" t="n">
        <v>7</v>
      </c>
      <c r="AL5" s="0" t="n">
        <v>8</v>
      </c>
    </row>
    <row r="6" customFormat="false" ht="12.8" hidden="false" customHeight="false" outlineLevel="0" collapsed="false">
      <c r="U6" s="0" t="s">
        <v>4</v>
      </c>
      <c r="AA6" s="1" t="n">
        <f aca="false"> 4/5</f>
        <v>0.8</v>
      </c>
      <c r="AE6" s="1" t="n">
        <f aca="false"> 4/5</f>
        <v>0.8</v>
      </c>
      <c r="AF6" s="1" t="n">
        <f aca="false"> 4/5</f>
        <v>0.8</v>
      </c>
      <c r="AG6" s="1" t="n">
        <f aca="false"> 4/5</f>
        <v>0.8</v>
      </c>
      <c r="AH6" s="1" t="n">
        <f aca="false"> 4/5</f>
        <v>0.8</v>
      </c>
      <c r="AI6" s="1" t="n">
        <f aca="false"> 4/5</f>
        <v>0.8</v>
      </c>
      <c r="AJ6" s="1" t="n">
        <f aca="false"> 4/5</f>
        <v>0.8</v>
      </c>
      <c r="AK6" s="1" t="n">
        <f aca="false"> 4/5</f>
        <v>0.8</v>
      </c>
      <c r="AL6" s="1" t="n">
        <f aca="false"> 4/5</f>
        <v>0.8</v>
      </c>
    </row>
    <row r="7" customFormat="false" ht="12.8" hidden="false" customHeight="false" outlineLevel="0" collapsed="false">
      <c r="U7" s="0" t="s">
        <v>5</v>
      </c>
      <c r="AA7" s="1" t="n">
        <f aca="false"> AA4 / (1 + AA6)</f>
        <v>1.11111111111111</v>
      </c>
      <c r="AE7" s="1" t="n">
        <f aca="false"> AE5 / (1 + AE6)</f>
        <v>0.555555555555556</v>
      </c>
      <c r="AF7" s="1" t="n">
        <f aca="false"> AF5 / (1 + AF6)</f>
        <v>1.11111111111111</v>
      </c>
      <c r="AG7" s="1" t="n">
        <f aca="false"> AG5 / (1 + AG6)</f>
        <v>1.66666666666667</v>
      </c>
      <c r="AH7" s="1" t="n">
        <f aca="false"> AH5 / (1 + AH6)</f>
        <v>2.22222222222222</v>
      </c>
      <c r="AI7" s="1" t="n">
        <f aca="false"> AI5 / (1 + AI6)</f>
        <v>2.77777777777778</v>
      </c>
      <c r="AJ7" s="1" t="n">
        <f aca="false"> AJ5 / (1 + AJ6)</f>
        <v>3.33333333333333</v>
      </c>
      <c r="AK7" s="1" t="n">
        <f aca="false"> AK5 / (1 + AK6)</f>
        <v>3.88888888888889</v>
      </c>
      <c r="AL7" s="1" t="n">
        <f aca="false"> AL5 / (1 + AL6)</f>
        <v>4.44444444444445</v>
      </c>
    </row>
    <row r="8" customFormat="false" ht="12.8" hidden="false" customHeight="false" outlineLevel="0" collapsed="false">
      <c r="U8" s="0" t="s">
        <v>6</v>
      </c>
      <c r="AA8" s="1" t="n">
        <f aca="false"> AA7 * AA6</f>
        <v>0.888888888888889</v>
      </c>
      <c r="AE8" s="1" t="n">
        <f aca="false"> AE7 * AE6</f>
        <v>0.444444444444445</v>
      </c>
      <c r="AF8" s="1" t="n">
        <f aca="false"> AF7 * AF6</f>
        <v>0.888888888888889</v>
      </c>
      <c r="AG8" s="1" t="n">
        <f aca="false"> AG7 * AG6</f>
        <v>1.33333333333333</v>
      </c>
      <c r="AH8" s="1" t="n">
        <f aca="false"> AH7 * AH6</f>
        <v>1.77777777777778</v>
      </c>
      <c r="AI8" s="1" t="n">
        <f aca="false"> AI7 * AI6</f>
        <v>2.22222222222222</v>
      </c>
      <c r="AJ8" s="1" t="n">
        <f aca="false"> AJ7 * AJ6</f>
        <v>2.66666666666667</v>
      </c>
      <c r="AK8" s="1" t="n">
        <f aca="false"> AK7 * AK6</f>
        <v>3.11111111111111</v>
      </c>
      <c r="AL8" s="1" t="n">
        <f aca="false"> AL7 * AL6</f>
        <v>3.55555555555556</v>
      </c>
    </row>
    <row r="9" customFormat="false" ht="12.8" hidden="false" customHeight="false" outlineLevel="0" collapsed="false">
      <c r="AA9" s="1"/>
    </row>
    <row r="10" customFormat="false" ht="12.8" hidden="false" customHeight="false" outlineLevel="0" collapsed="false">
      <c r="AA10" s="1"/>
    </row>
    <row r="11" customFormat="false" ht="12.8" hidden="false" customHeight="false" outlineLevel="0" collapsed="false">
      <c r="AA11" s="1"/>
    </row>
    <row r="12" customFormat="false" ht="12.8" hidden="false" customHeight="false" outlineLevel="0" collapsed="false">
      <c r="U12" s="2" t="n">
        <v>3</v>
      </c>
      <c r="V12" s="3"/>
      <c r="W12" s="3"/>
      <c r="X12" s="3"/>
      <c r="Y12" s="4"/>
      <c r="Z12" s="5" t="s">
        <v>7</v>
      </c>
      <c r="AA12" s="1"/>
    </row>
    <row r="13" customFormat="false" ht="12.8" hidden="false" customHeight="false" outlineLevel="0" collapsed="false">
      <c r="U13" s="2" t="n">
        <v>2</v>
      </c>
      <c r="V13" s="3"/>
      <c r="W13" s="3"/>
      <c r="X13" s="4"/>
      <c r="Y13" s="4"/>
      <c r="Z13" s="3"/>
    </row>
    <row r="14" customFormat="false" ht="12.8" hidden="false" customHeight="false" outlineLevel="0" collapsed="false">
      <c r="U14" s="2" t="n">
        <v>1</v>
      </c>
      <c r="V14" s="3"/>
      <c r="W14" s="4"/>
      <c r="X14" s="4"/>
      <c r="Y14" s="3"/>
      <c r="Z14" s="3"/>
    </row>
    <row r="15" customFormat="false" ht="12.8" hidden="false" customHeight="false" outlineLevel="0" collapsed="false">
      <c r="U15" s="2" t="n">
        <v>0</v>
      </c>
      <c r="V15" s="4" t="s">
        <v>8</v>
      </c>
      <c r="W15" s="4"/>
      <c r="X15" s="3"/>
      <c r="Y15" s="3"/>
      <c r="Z15" s="3"/>
    </row>
    <row r="16" customFormat="false" ht="12.8" hidden="false" customHeight="false" outlineLevel="0" collapsed="false">
      <c r="U16" s="2"/>
      <c r="V16" s="2" t="n">
        <v>0</v>
      </c>
      <c r="W16" s="2" t="n">
        <v>1</v>
      </c>
      <c r="X16" s="2" t="n">
        <v>2</v>
      </c>
      <c r="Y16" s="2" t="n">
        <v>3</v>
      </c>
      <c r="Z16" s="2" t="n">
        <v>4</v>
      </c>
    </row>
    <row r="27" customFormat="false" ht="12.8" hidden="false" customHeight="false" outlineLevel="0" collapsed="false">
      <c r="U27" s="0" t="s">
        <v>0</v>
      </c>
    </row>
    <row r="28" customFormat="false" ht="12.8" hidden="false" customHeight="false" outlineLevel="0" collapsed="false">
      <c r="U28" s="0" t="s">
        <v>1</v>
      </c>
    </row>
    <row r="29" customFormat="false" ht="12.8" hidden="false" customHeight="false" outlineLevel="0" collapsed="false">
      <c r="U29" s="0" t="s">
        <v>2</v>
      </c>
      <c r="AA29" s="0" t="n">
        <v>2</v>
      </c>
      <c r="AE29" s="0" t="n">
        <v>0</v>
      </c>
      <c r="AF29" s="0" t="n">
        <v>1</v>
      </c>
      <c r="AG29" s="0" t="n">
        <v>2</v>
      </c>
      <c r="AH29" s="0" t="n">
        <v>3</v>
      </c>
      <c r="AI29" s="0" t="n">
        <v>4</v>
      </c>
      <c r="AJ29" s="0" t="n">
        <v>5</v>
      </c>
      <c r="AK29" s="0" t="n">
        <v>6</v>
      </c>
      <c r="AL29" s="0" t="n">
        <v>7</v>
      </c>
    </row>
    <row r="30" customFormat="false" ht="12.8" hidden="false" customHeight="false" outlineLevel="0" collapsed="false">
      <c r="U30" s="0" t="s">
        <v>3</v>
      </c>
      <c r="AA30" s="0" t="n">
        <v>7</v>
      </c>
      <c r="AE30" s="0" t="n">
        <v>1</v>
      </c>
      <c r="AF30" s="0" t="n">
        <v>2</v>
      </c>
      <c r="AG30" s="0" t="n">
        <v>3</v>
      </c>
      <c r="AH30" s="0" t="n">
        <v>4</v>
      </c>
      <c r="AI30" s="0" t="n">
        <v>5</v>
      </c>
      <c r="AJ30" s="0" t="n">
        <v>6</v>
      </c>
      <c r="AK30" s="0" t="n">
        <v>7</v>
      </c>
      <c r="AL30" s="0" t="n">
        <v>8</v>
      </c>
    </row>
    <row r="31" customFormat="false" ht="12.8" hidden="false" customHeight="false" outlineLevel="0" collapsed="false">
      <c r="U31" s="0" t="s">
        <v>4</v>
      </c>
      <c r="AA31" s="1" t="n">
        <f aca="false"> 4/3</f>
        <v>1.33333333333333</v>
      </c>
      <c r="AE31" s="1" t="n">
        <f aca="false"> 4/3</f>
        <v>1.33333333333333</v>
      </c>
      <c r="AF31" s="1" t="n">
        <f aca="false"> 4/3</f>
        <v>1.33333333333333</v>
      </c>
      <c r="AG31" s="1" t="n">
        <f aca="false"> 4/3</f>
        <v>1.33333333333333</v>
      </c>
      <c r="AH31" s="1" t="n">
        <f aca="false"> 4/3</f>
        <v>1.33333333333333</v>
      </c>
      <c r="AI31" s="1" t="n">
        <f aca="false"> 4/3</f>
        <v>1.33333333333333</v>
      </c>
      <c r="AJ31" s="1" t="n">
        <f aca="false"> 4/3</f>
        <v>1.33333333333333</v>
      </c>
      <c r="AK31" s="1" t="n">
        <v>1.3</v>
      </c>
      <c r="AL31" s="1" t="n">
        <v>1.3</v>
      </c>
    </row>
    <row r="32" customFormat="false" ht="12.8" hidden="false" customHeight="false" outlineLevel="0" collapsed="false">
      <c r="U32" s="0" t="s">
        <v>5</v>
      </c>
      <c r="AA32" s="1" t="n">
        <f aca="false"> AA29 / (1 + AA31)</f>
        <v>0.857142857142857</v>
      </c>
      <c r="AE32" s="1" t="n">
        <f aca="false"> AE30 / (1 + AE31)</f>
        <v>0.428571428571429</v>
      </c>
      <c r="AF32" s="1" t="n">
        <f aca="false"> AF30 / (1 + AF31)</f>
        <v>0.857142857142857</v>
      </c>
      <c r="AG32" s="1" t="n">
        <f aca="false"> AG30 / (1 + AG31)</f>
        <v>1.28571428571429</v>
      </c>
      <c r="AH32" s="1" t="n">
        <f aca="false"> AH30 / (1 + AH31)</f>
        <v>1.71428571428571</v>
      </c>
      <c r="AI32" s="1" t="n">
        <f aca="false"> AI30 / (1 + AI31)</f>
        <v>2.14285714285714</v>
      </c>
      <c r="AJ32" s="1" t="n">
        <f aca="false"> AJ30 / (1 + AJ31)</f>
        <v>2.57142857142857</v>
      </c>
      <c r="AK32" s="1" t="n">
        <f aca="false"> AK30 / (1 + AK31)</f>
        <v>3.04347826086957</v>
      </c>
      <c r="AL32" s="1" t="n">
        <f aca="false"> AL30 / (1 + AL31)</f>
        <v>3.47826086956522</v>
      </c>
    </row>
    <row r="33" customFormat="false" ht="12.8" hidden="false" customHeight="false" outlineLevel="0" collapsed="false">
      <c r="U33" s="0" t="s">
        <v>6</v>
      </c>
      <c r="AA33" s="1" t="n">
        <f aca="false"> AA32 * AA31</f>
        <v>1.14285714285714</v>
      </c>
      <c r="AE33" s="1" t="n">
        <f aca="false"> AE32 * AE31</f>
        <v>0.571428571428571</v>
      </c>
      <c r="AF33" s="1" t="n">
        <f aca="false"> AF32 * AF31</f>
        <v>1.14285714285714</v>
      </c>
      <c r="AG33" s="1" t="n">
        <f aca="false"> AG32 * AG31</f>
        <v>1.71428571428571</v>
      </c>
      <c r="AH33" s="1" t="n">
        <f aca="false"> AH32 * AH31</f>
        <v>2.28571428571429</v>
      </c>
      <c r="AI33" s="1" t="n">
        <f aca="false"> AI32 * AI31</f>
        <v>2.85714285714286</v>
      </c>
      <c r="AJ33" s="1" t="n">
        <f aca="false"> AJ32 * AJ31</f>
        <v>3.42857142857143</v>
      </c>
      <c r="AK33" s="1" t="n">
        <f aca="false"> AK32 * AK31</f>
        <v>3.95652173913044</v>
      </c>
      <c r="AL33" s="1" t="n">
        <f aca="false"> AL32 * AL31</f>
        <v>4.52173913043478</v>
      </c>
    </row>
    <row r="34" customFormat="false" ht="12.8" hidden="false" customHeight="false" outlineLevel="0" collapsed="false">
      <c r="AA34" s="1"/>
    </row>
    <row r="35" customFormat="false" ht="12.8" hidden="false" customHeight="false" outlineLevel="0" collapsed="false">
      <c r="AA35" s="1"/>
    </row>
    <row r="36" customFormat="false" ht="12.8" hidden="false" customHeight="false" outlineLevel="0" collapsed="false">
      <c r="U36" s="2" t="n">
        <v>4</v>
      </c>
      <c r="Y36" s="4" t="s">
        <v>9</v>
      </c>
      <c r="AA36" s="1"/>
    </row>
    <row r="37" customFormat="false" ht="12.8" hidden="false" customHeight="false" outlineLevel="0" collapsed="false">
      <c r="U37" s="2" t="n">
        <v>3</v>
      </c>
      <c r="V37" s="3"/>
      <c r="W37" s="3"/>
      <c r="X37" s="4"/>
      <c r="Y37" s="4"/>
      <c r="AA37" s="1"/>
    </row>
    <row r="38" customFormat="false" ht="12.8" hidden="false" customHeight="false" outlineLevel="0" collapsed="false">
      <c r="U38" s="2" t="n">
        <v>2</v>
      </c>
      <c r="V38" s="3"/>
      <c r="W38" s="4"/>
      <c r="X38" s="4"/>
      <c r="Z38" s="3"/>
    </row>
    <row r="39" customFormat="false" ht="12.8" hidden="false" customHeight="false" outlineLevel="0" collapsed="false">
      <c r="U39" s="2" t="n">
        <v>1</v>
      </c>
      <c r="V39" s="4"/>
      <c r="W39" s="4"/>
      <c r="Y39" s="3"/>
      <c r="Z39" s="3"/>
    </row>
    <row r="40" customFormat="false" ht="12.8" hidden="false" customHeight="false" outlineLevel="0" collapsed="false">
      <c r="U40" s="2" t="n">
        <v>0</v>
      </c>
      <c r="V40" s="4" t="s">
        <v>8</v>
      </c>
      <c r="X40" s="3"/>
      <c r="Y40" s="3"/>
      <c r="Z40" s="3"/>
    </row>
    <row r="41" customFormat="false" ht="12.8" hidden="false" customHeight="false" outlineLevel="0" collapsed="false">
      <c r="U41" s="2"/>
      <c r="V41" s="2" t="n">
        <v>0</v>
      </c>
      <c r="W41" s="2" t="n">
        <v>1</v>
      </c>
      <c r="X41" s="2" t="n">
        <v>2</v>
      </c>
      <c r="Y41" s="2" t="n">
        <v>3</v>
      </c>
      <c r="Z41" s="2" t="n">
        <v>4</v>
      </c>
    </row>
    <row r="46" customFormat="false" ht="12.8" hidden="false" customHeight="false" outlineLevel="0" collapsed="false">
      <c r="U46" s="0" t="s">
        <v>10</v>
      </c>
    </row>
    <row r="47" customFormat="false" ht="12.8" hidden="false" customHeight="false" outlineLevel="0" collapsed="false">
      <c r="U47" s="0" t="s">
        <v>11</v>
      </c>
    </row>
    <row r="48" customFormat="false" ht="12.8" hidden="false" customHeight="false" outlineLevel="0" collapsed="false">
      <c r="U48" s="0" t="s">
        <v>2</v>
      </c>
      <c r="AA48" s="0" t="n">
        <v>2</v>
      </c>
    </row>
    <row r="49" customFormat="false" ht="12.8" hidden="false" customHeight="false" outlineLevel="0" collapsed="false">
      <c r="U49" s="0" t="s">
        <v>3</v>
      </c>
      <c r="AA49" s="0" t="n">
        <v>7</v>
      </c>
      <c r="AD49" s="0" t="s">
        <v>12</v>
      </c>
      <c r="AE49" s="0" t="n">
        <v>1</v>
      </c>
      <c r="AF49" s="0" t="n">
        <v>2</v>
      </c>
      <c r="AG49" s="0" t="n">
        <v>3</v>
      </c>
      <c r="AH49" s="0" t="n">
        <v>4</v>
      </c>
      <c r="AI49" s="0" t="n">
        <v>5</v>
      </c>
      <c r="AJ49" s="0" t="n">
        <v>6</v>
      </c>
      <c r="AK49" s="0" t="n">
        <v>7</v>
      </c>
    </row>
    <row r="50" customFormat="false" ht="12.8" hidden="false" customHeight="false" outlineLevel="0" collapsed="false">
      <c r="U50" s="0" t="s">
        <v>13</v>
      </c>
      <c r="AA50" s="1" t="n">
        <f aca="false"> AA49 / (ABS($S$51) + ABS($S$52))</f>
        <v>1</v>
      </c>
      <c r="AE50" s="1" t="n">
        <f aca="false"> AE49 / (ABS($S$51) + ABS($S$52))</f>
        <v>0.142857142857143</v>
      </c>
      <c r="AF50" s="1" t="n">
        <f aca="false"> AF49 / (ABS($S$51) + ABS($S$52))</f>
        <v>0.285714285714286</v>
      </c>
      <c r="AG50" s="1" t="n">
        <f aca="false"> AG49 / (ABS($S$51) + ABS($S$52))</f>
        <v>0.428571428571429</v>
      </c>
      <c r="AH50" s="1" t="n">
        <f aca="false"> AH49 / (ABS($S$51) + ABS($S$52))</f>
        <v>0.571428571428571</v>
      </c>
      <c r="AI50" s="1" t="n">
        <f aca="false"> AI49 / (ABS($S$51) + ABS($S$52))</f>
        <v>0.714285714285714</v>
      </c>
      <c r="AJ50" s="1" t="n">
        <f aca="false"> AJ49 / (ABS($S$51) + ABS($S$52))</f>
        <v>0.857142857142857</v>
      </c>
      <c r="AK50" s="1" t="n">
        <f aca="false"> AK49 / (ABS($S$51) + ABS($S$52))</f>
        <v>1</v>
      </c>
      <c r="AL50" s="1"/>
    </row>
    <row r="51" customFormat="false" ht="12.8" hidden="false" customHeight="false" outlineLevel="0" collapsed="false">
      <c r="S51" s="0" t="n">
        <v>4</v>
      </c>
      <c r="U51" s="0" t="s">
        <v>5</v>
      </c>
      <c r="AA51" s="1" t="n">
        <f aca="false"> $S51 * AA50</f>
        <v>4</v>
      </c>
      <c r="AE51" s="1" t="n">
        <f aca="false"> $S$51 * AE50</f>
        <v>0.571428571428571</v>
      </c>
      <c r="AF51" s="1" t="n">
        <f aca="false"> $S$51 * AF50</f>
        <v>1.14285714285714</v>
      </c>
      <c r="AG51" s="1" t="n">
        <f aca="false"> $S$51 * AG50</f>
        <v>1.71428571428571</v>
      </c>
      <c r="AH51" s="1" t="n">
        <f aca="false"> $S$51 * AH50</f>
        <v>2.28571428571429</v>
      </c>
      <c r="AI51" s="1" t="n">
        <f aca="false"> $S$51 * AI50</f>
        <v>2.85714285714286</v>
      </c>
      <c r="AJ51" s="1" t="n">
        <f aca="false"> $S$51 * AJ50</f>
        <v>3.42857142857143</v>
      </c>
      <c r="AK51" s="1" t="n">
        <f aca="false"> $S$51 * AK50</f>
        <v>4</v>
      </c>
      <c r="AL51" s="1"/>
    </row>
    <row r="52" customFormat="false" ht="12.8" hidden="false" customHeight="false" outlineLevel="0" collapsed="false">
      <c r="S52" s="0" t="n">
        <v>3</v>
      </c>
      <c r="U52" s="0" t="s">
        <v>6</v>
      </c>
      <c r="AA52" s="1" t="n">
        <f aca="false"> $S52 * AA50</f>
        <v>3</v>
      </c>
      <c r="AE52" s="1" t="n">
        <f aca="false"> $S$52 * AE50</f>
        <v>0.428571428571429</v>
      </c>
      <c r="AF52" s="1" t="n">
        <f aca="false"> $S$52 * AF50</f>
        <v>0.857142857142857</v>
      </c>
      <c r="AG52" s="1" t="n">
        <f aca="false"> $S$52 * AG50</f>
        <v>1.28571428571429</v>
      </c>
      <c r="AH52" s="1" t="n">
        <f aca="false"> $S$52 * AH50</f>
        <v>1.71428571428571</v>
      </c>
      <c r="AI52" s="1" t="n">
        <f aca="false"> $S$52 * AI50</f>
        <v>2.14285714285714</v>
      </c>
      <c r="AJ52" s="1" t="n">
        <f aca="false"> $S$52 * AJ50</f>
        <v>2.57142857142857</v>
      </c>
      <c r="AK52" s="1" t="n">
        <f aca="false"> $S$52 * AK50</f>
        <v>3</v>
      </c>
      <c r="AL52" s="1"/>
    </row>
    <row r="53" customFormat="false" ht="12.8" hidden="false" customHeight="false" outlineLevel="0" collapsed="false">
      <c r="AA53" s="1"/>
    </row>
    <row r="54" customFormat="false" ht="12.8" hidden="false" customHeight="false" outlineLevel="0" collapsed="false">
      <c r="AA54" s="1"/>
    </row>
    <row r="55" customFormat="false" ht="12.8" hidden="false" customHeight="false" outlineLevel="0" collapsed="false">
      <c r="AA55" s="1"/>
    </row>
    <row r="56" customFormat="false" ht="12.8" hidden="false" customHeight="false" outlineLevel="0" collapsed="false">
      <c r="U56" s="2" t="n">
        <v>3</v>
      </c>
      <c r="V56" s="3"/>
      <c r="W56" s="3"/>
      <c r="X56" s="3"/>
      <c r="Y56" s="4"/>
      <c r="Z56" s="5" t="s">
        <v>7</v>
      </c>
      <c r="AA56" s="1"/>
    </row>
    <row r="57" customFormat="false" ht="12.8" hidden="false" customHeight="false" outlineLevel="0" collapsed="false">
      <c r="U57" s="2" t="n">
        <v>2</v>
      </c>
      <c r="V57" s="3"/>
      <c r="W57" s="3"/>
      <c r="X57" s="4"/>
      <c r="Y57" s="4"/>
      <c r="Z57" s="3"/>
    </row>
    <row r="58" customFormat="false" ht="12.8" hidden="false" customHeight="false" outlineLevel="0" collapsed="false">
      <c r="U58" s="2" t="n">
        <v>1</v>
      </c>
      <c r="V58" s="3"/>
      <c r="W58" s="4"/>
      <c r="X58" s="4"/>
      <c r="Y58" s="3"/>
      <c r="Z58" s="3"/>
    </row>
    <row r="59" customFormat="false" ht="12.8" hidden="false" customHeight="false" outlineLevel="0" collapsed="false">
      <c r="U59" s="2" t="n">
        <v>0</v>
      </c>
      <c r="V59" s="4" t="s">
        <v>8</v>
      </c>
      <c r="W59" s="4"/>
      <c r="X59" s="3"/>
      <c r="Y59" s="3"/>
      <c r="Z59" s="3"/>
    </row>
    <row r="60" customFormat="false" ht="12.8" hidden="false" customHeight="false" outlineLevel="0" collapsed="false">
      <c r="U60" s="2"/>
      <c r="V60" s="2" t="n">
        <v>0</v>
      </c>
      <c r="W60" s="2" t="n">
        <v>1</v>
      </c>
      <c r="X60" s="2" t="n">
        <v>2</v>
      </c>
      <c r="Y60" s="2" t="n">
        <v>3</v>
      </c>
      <c r="Z60" s="2" t="n">
        <v>4</v>
      </c>
    </row>
    <row r="68" customFormat="false" ht="12.8" hidden="false" customHeight="false" outlineLevel="0" collapsed="false">
      <c r="U68" s="0" t="s">
        <v>10</v>
      </c>
    </row>
    <row r="69" customFormat="false" ht="12.8" hidden="false" customHeight="false" outlineLevel="0" collapsed="false">
      <c r="U69" s="0" t="s">
        <v>11</v>
      </c>
    </row>
    <row r="70" customFormat="false" ht="12.8" hidden="false" customHeight="false" outlineLevel="0" collapsed="false">
      <c r="U70" s="0" t="s">
        <v>2</v>
      </c>
      <c r="AA70" s="0" t="n">
        <v>2</v>
      </c>
    </row>
    <row r="71" customFormat="false" ht="12.8" hidden="false" customHeight="false" outlineLevel="0" collapsed="false">
      <c r="U71" s="0" t="s">
        <v>3</v>
      </c>
      <c r="AA71" s="0" t="n">
        <v>7</v>
      </c>
      <c r="AD71" s="0" t="s">
        <v>12</v>
      </c>
      <c r="AE71" s="0" t="n">
        <v>1</v>
      </c>
      <c r="AF71" s="0" t="n">
        <v>2</v>
      </c>
      <c r="AG71" s="0" t="n">
        <v>3</v>
      </c>
      <c r="AH71" s="0" t="n">
        <v>4</v>
      </c>
      <c r="AI71" s="0" t="n">
        <v>5</v>
      </c>
      <c r="AJ71" s="0" t="n">
        <v>6</v>
      </c>
      <c r="AK71" s="0" t="n">
        <v>7</v>
      </c>
    </row>
    <row r="72" customFormat="false" ht="12.8" hidden="false" customHeight="false" outlineLevel="0" collapsed="false">
      <c r="Q72" s="0" t="s">
        <v>14</v>
      </c>
      <c r="U72" s="0" t="s">
        <v>13</v>
      </c>
      <c r="AA72" s="1" t="n">
        <f aca="false"> AA71 / (ABS($S$51) + ABS($S$52))</f>
        <v>1</v>
      </c>
      <c r="AE72" s="1" t="n">
        <f aca="false"> AE71 / (ABS($S$51) + ABS($S$52))</f>
        <v>0.142857142857143</v>
      </c>
      <c r="AF72" s="1" t="n">
        <f aca="false"> AF71 / (ABS($S$51) + ABS($S$52))</f>
        <v>0.285714285714286</v>
      </c>
      <c r="AG72" s="1" t="n">
        <f aca="false"> AG71 / (ABS($S$51) + ABS($S$52))</f>
        <v>0.428571428571429</v>
      </c>
      <c r="AH72" s="1" t="n">
        <f aca="false"> AH71 / (ABS($S$51) + ABS($S$52))</f>
        <v>0.571428571428571</v>
      </c>
      <c r="AI72" s="1" t="n">
        <f aca="false"> AI71 / (ABS($S$51) + ABS($S$52))</f>
        <v>0.714285714285714</v>
      </c>
      <c r="AJ72" s="1" t="n">
        <f aca="false"> AJ71 / (ABS($S$51) + ABS($S$52))</f>
        <v>0.857142857142857</v>
      </c>
      <c r="AK72" s="1" t="n">
        <f aca="false"> AK71 / (ABS($S$51) + ABS($S$52))</f>
        <v>1</v>
      </c>
    </row>
    <row r="73" customFormat="false" ht="12.8" hidden="false" customHeight="false" outlineLevel="0" collapsed="false">
      <c r="Q73" s="0" t="n">
        <v>0.3</v>
      </c>
      <c r="S73" s="0" t="n">
        <v>4</v>
      </c>
      <c r="U73" s="0" t="s">
        <v>5</v>
      </c>
      <c r="AA73" s="1" t="n">
        <f aca="false"> $S73 * AA72</f>
        <v>4</v>
      </c>
      <c r="AE73" s="1" t="n">
        <f aca="false"> $S$51 * AE72</f>
        <v>0.571428571428571</v>
      </c>
      <c r="AF73" s="1" t="n">
        <f aca="false"> $S$51 * AF72</f>
        <v>1.14285714285714</v>
      </c>
      <c r="AG73" s="1" t="n">
        <f aca="false"> $S$51 * AG72</f>
        <v>1.71428571428571</v>
      </c>
      <c r="AH73" s="1" t="n">
        <f aca="false"> $S$51 * AH72</f>
        <v>2.28571428571429</v>
      </c>
      <c r="AI73" s="1" t="n">
        <f aca="false"> $S$51 * AI72</f>
        <v>2.85714285714286</v>
      </c>
      <c r="AJ73" s="1" t="n">
        <f aca="false"> $S$51 * AJ72</f>
        <v>3.42857142857143</v>
      </c>
      <c r="AK73" s="1" t="n">
        <f aca="false"> $S$51 * AK72</f>
        <v>4</v>
      </c>
    </row>
    <row r="74" customFormat="false" ht="12.8" hidden="false" customHeight="false" outlineLevel="0" collapsed="false">
      <c r="Q74" s="0" t="n">
        <v>0.7</v>
      </c>
      <c r="S74" s="0" t="n">
        <v>3</v>
      </c>
      <c r="U74" s="0" t="s">
        <v>6</v>
      </c>
      <c r="AA74" s="1" t="n">
        <f aca="false"> $S74 * AA72</f>
        <v>3</v>
      </c>
      <c r="AE74" s="1" t="n">
        <f aca="false"> $S$52 * AE72</f>
        <v>0.428571428571429</v>
      </c>
      <c r="AF74" s="1" t="n">
        <f aca="false"> $S$52 * AF72</f>
        <v>0.857142857142857</v>
      </c>
      <c r="AG74" s="1" t="n">
        <f aca="false"> $S$52 * AG72</f>
        <v>1.28571428571429</v>
      </c>
      <c r="AH74" s="1" t="n">
        <f aca="false"> $S$52 * AH72</f>
        <v>1.71428571428571</v>
      </c>
      <c r="AI74" s="1" t="n">
        <f aca="false"> $S$52 * AI72</f>
        <v>2.14285714285714</v>
      </c>
      <c r="AJ74" s="1" t="n">
        <f aca="false"> $S$52 * AJ72</f>
        <v>2.57142857142857</v>
      </c>
      <c r="AK74" s="1" t="n">
        <f aca="false"> $S$52 * AK72</f>
        <v>3</v>
      </c>
    </row>
    <row r="75" customFormat="false" ht="12.8" hidden="false" customHeight="false" outlineLevel="0" collapsed="false">
      <c r="AA75" s="1"/>
    </row>
    <row r="76" customFormat="false" ht="12.8" hidden="false" customHeight="false" outlineLevel="0" collapsed="false">
      <c r="AA76" s="1"/>
    </row>
    <row r="77" customFormat="false" ht="12.8" hidden="false" customHeight="false" outlineLevel="0" collapsed="false">
      <c r="AA77" s="1"/>
    </row>
    <row r="78" customFormat="false" ht="12.8" hidden="false" customHeight="false" outlineLevel="0" collapsed="false">
      <c r="U78" s="2" t="n">
        <v>3</v>
      </c>
      <c r="V78" s="3"/>
      <c r="W78" s="3"/>
      <c r="X78" s="3"/>
      <c r="Y78" s="4"/>
      <c r="Z78" s="5" t="s">
        <v>7</v>
      </c>
      <c r="AA78" s="1"/>
    </row>
    <row r="79" customFormat="false" ht="12.8" hidden="false" customHeight="false" outlineLevel="0" collapsed="false">
      <c r="U79" s="2" t="n">
        <v>2</v>
      </c>
      <c r="V79" s="3"/>
      <c r="W79" s="4"/>
      <c r="X79" s="4"/>
      <c r="Y79" s="4"/>
      <c r="Z79" s="3"/>
    </row>
    <row r="80" customFormat="false" ht="12.8" hidden="false" customHeight="false" outlineLevel="0" collapsed="false">
      <c r="U80" s="2" t="n">
        <v>1</v>
      </c>
      <c r="V80" s="4"/>
      <c r="W80" s="4"/>
      <c r="Y80" s="3"/>
      <c r="Z80" s="3"/>
    </row>
    <row r="81" customFormat="false" ht="12.8" hidden="false" customHeight="false" outlineLevel="0" collapsed="false">
      <c r="U81" s="2" t="n">
        <v>0</v>
      </c>
      <c r="V81" s="4" t="s">
        <v>8</v>
      </c>
      <c r="X81" s="3"/>
      <c r="Y81" s="3"/>
      <c r="Z81" s="3"/>
    </row>
    <row r="82" customFormat="false" ht="12.8" hidden="false" customHeight="false" outlineLevel="0" collapsed="false">
      <c r="U82" s="2"/>
      <c r="V82" s="2" t="n">
        <v>0</v>
      </c>
      <c r="W82" s="2" t="n">
        <v>1</v>
      </c>
      <c r="X82" s="2" t="n">
        <v>2</v>
      </c>
      <c r="Y82" s="2" t="n">
        <v>3</v>
      </c>
      <c r="Z82" s="2" t="n">
        <v>4</v>
      </c>
    </row>
    <row r="86" customFormat="false" ht="12.8" hidden="false" customHeight="false" outlineLevel="0" collapsed="false">
      <c r="R86" s="6"/>
      <c r="S86" s="6"/>
      <c r="T86" s="6"/>
      <c r="U86" s="6"/>
      <c r="V86" s="6"/>
      <c r="W86" s="6"/>
      <c r="X86" s="6"/>
      <c r="Y86" s="6"/>
      <c r="Z86" s="6"/>
    </row>
    <row r="87" customFormat="false" ht="12.8" hidden="false" customHeight="false" outlineLevel="0" collapsed="false">
      <c r="R87" s="6"/>
      <c r="S87" s="6"/>
      <c r="T87" s="6"/>
      <c r="U87" s="6"/>
      <c r="V87" s="6"/>
      <c r="W87" s="6"/>
      <c r="X87" s="6"/>
      <c r="Y87" s="6"/>
      <c r="Z87" s="6"/>
    </row>
    <row r="88" customFormat="false" ht="12.8" hidden="false" customHeight="false" outlineLevel="0" collapsed="false">
      <c r="R88" s="6"/>
      <c r="S88" s="6"/>
      <c r="T88" s="6"/>
      <c r="U88" s="6"/>
      <c r="V88" s="6"/>
      <c r="W88" s="6"/>
      <c r="X88" s="6"/>
      <c r="Y88" s="6"/>
      <c r="Z88" s="6"/>
    </row>
    <row r="89" customFormat="false" ht="12.8" hidden="false" customHeight="false" outlineLevel="0" collapsed="false">
      <c r="R89" s="6"/>
      <c r="S89" s="6"/>
      <c r="T89" s="6"/>
      <c r="U89" s="6"/>
      <c r="V89" s="6"/>
      <c r="W89" s="6"/>
      <c r="X89" s="6"/>
      <c r="Y89" s="6"/>
      <c r="Z89" s="6"/>
    </row>
    <row r="90" customFormat="false" ht="12.8" hidden="false" customHeight="false" outlineLevel="0" collapsed="false">
      <c r="R90" s="6"/>
      <c r="S90" s="6"/>
      <c r="T90" s="6"/>
      <c r="U90" s="6"/>
      <c r="V90" s="6"/>
      <c r="W90" s="6"/>
      <c r="X90" s="6"/>
      <c r="Y90" s="6"/>
      <c r="Z90" s="6"/>
    </row>
    <row r="91" customFormat="false" ht="12.8" hidden="false" customHeight="false" outlineLevel="0" collapsed="false">
      <c r="R91" s="6"/>
      <c r="S91" s="6"/>
      <c r="T91" s="6"/>
      <c r="U91" s="6"/>
      <c r="V91" s="6"/>
      <c r="W91" s="6"/>
      <c r="X91" s="6"/>
      <c r="Y91" s="6"/>
      <c r="Z91" s="6"/>
    </row>
    <row r="92" customFormat="false" ht="12.8" hidden="false" customHeight="false" outlineLevel="0" collapsed="false">
      <c r="R92" s="6"/>
      <c r="S92" s="6"/>
      <c r="T92" s="6"/>
      <c r="U92" s="6"/>
      <c r="V92" s="6"/>
      <c r="W92" s="6"/>
      <c r="X92" s="6"/>
      <c r="Y92" s="6"/>
      <c r="Z92" s="6"/>
    </row>
    <row r="93" customFormat="false" ht="12.8" hidden="false" customHeight="false" outlineLevel="0" collapsed="false">
      <c r="R93" s="6"/>
      <c r="S93" s="6"/>
      <c r="T93" s="6"/>
      <c r="U93" s="6"/>
      <c r="V93" s="6"/>
      <c r="W93" s="6"/>
      <c r="X93" s="6"/>
      <c r="Y93" s="6"/>
      <c r="Z93" s="6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&amp;C&amp;A</oddHeader>
    <oddFooter>&amp;CСтраница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4454</TotalTime>
  <Application>LibreOffice/7.5.3.2$Windows_X86_64 LibreOffice_project/9f56dff12ba03b9acd7730a5a481eea045e468f3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2025-04-08T15:02:45Z</dcterms:created>
  <dc:creator/>
  <dc:description/>
  <dc:language>ru-RU</dc:language>
  <cp:lastModifiedBy/>
  <dcterms:modified xsi:type="dcterms:W3CDTF">2025-04-17T17:12:46Z</dcterms:modified>
  <cp:revision>38</cp:revision>
  <dc:subject/>
  <dc:title/>
</cp:coreProperties>
</file>